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s" sheetId="1" state="visible" r:id="rId3"/>
    <sheet name="Examp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Edit this value (0 to &lt;1) to see each step recalculate.</t>
        </r>
      </text>
    </comment>
  </commentList>
</comments>
</file>

<file path=xl/sharedStrings.xml><?xml version="1.0" encoding="utf-8"?>
<sst xmlns="http://schemas.openxmlformats.org/spreadsheetml/2006/main" count="43" uniqueCount="42">
  <si>
    <t xml:space="preserve">1 + floor(random() * 15)::int — step by step</t>
  </si>
  <si>
    <t xml:space="preserve">Example random() value:</t>
  </si>
  <si>
    <t xml:space="preserve">← edit this cell (any value from 0 to less than 1)</t>
  </si>
  <si>
    <t xml:space="preserve">Step</t>
  </si>
  <si>
    <t xml:space="preserve">SQL part</t>
  </si>
  <si>
    <t xml:space="preserve">Result range</t>
  </si>
  <si>
    <t xml:space="preserve">Example result</t>
  </si>
  <si>
    <t xml:space="preserve">What it does</t>
  </si>
  <si>
    <t xml:space="preserve">random()</t>
  </si>
  <si>
    <t xml:space="preserve">0 ≤ x &lt; 1</t>
  </si>
  <si>
    <t xml:space="preserve">Returns a decimal number that is at least 0 and always less than 1.</t>
  </si>
  <si>
    <t xml:space="preserve">* 15</t>
  </si>
  <si>
    <t xml:space="preserve">0 ≤ x &lt; 15</t>
  </si>
  <si>
    <t xml:space="preserve">Stretches the range: the result is at least 0 and less than 15.</t>
  </si>
  <si>
    <t xml:space="preserve">floor(...)</t>
  </si>
  <si>
    <t xml:space="preserve">0 … 14</t>
  </si>
  <si>
    <t xml:space="preserve">Rounds DOWN to the nearest whole number. The input is always below 15, so the maximum is 14.</t>
  </si>
  <si>
    <t xml:space="preserve">::int</t>
  </si>
  <si>
    <t xml:space="preserve">0 … 14 (integer)</t>
  </si>
  <si>
    <t xml:space="preserve">Converts to integer type. floor() returns double precision (e.g. 10.0); array positions must be integers. Same as CAST(... AS integer).</t>
  </si>
  <si>
    <t xml:space="preserve">1 +</t>
  </si>
  <si>
    <t xml:space="preserve">1 … 15</t>
  </si>
  <si>
    <t xml:space="preserve">Shifts 0–14 to 1–15, because PostgreSQL arrays start at position 1, not 0.</t>
  </si>
  <si>
    <t xml:space="preserve">General pattern: a + floor(random() * n)::int gives a random integer from a to a + n − 1.</t>
  </si>
  <si>
    <t xml:space="preserve">Example from the script: 1 + floor(random() * 3)::int gives a quantity from 1 to 3.</t>
  </si>
  <si>
    <t xml:space="preserve">Examples: floor vs round</t>
  </si>
  <si>
    <t xml:space="preserve">n (array size)</t>
  </si>
  <si>
    <t xml:space="preserve">Number of names in the array (from the SQL script)</t>
  </si>
  <si>
    <t xml:space="preserve">a (start value)</t>
  </si>
  <si>
    <t xml:space="preserve">Arrays in PostgreSQL start at 1</t>
  </si>
  <si>
    <t xml:space="preserve">× n</t>
  </si>
  <si>
    <t xml:space="preserve">floor</t>
  </si>
  <si>
    <t xml:space="preserve">+ a (result)</t>
  </si>
  <si>
    <t xml:space="preserve">round instead of floor</t>
  </si>
  <si>
    <t xml:space="preserve">Valid position?</t>
  </si>
  <si>
    <t xml:space="preserve">← live value: changes on every recalculation (F9 in Excel)</t>
  </si>
  <si>
    <t xml:space="preserve">Why floor and not round?</t>
  </si>
  <si>
    <t xml:space="preserve">• round() gives 16 possible results (0 to 15) instead of 15.</t>
  </si>
  <si>
    <t xml:space="preserve">• With round, 0 only comes from values 0–0.5 and 15 only from 14.5–15, so the first and last names are picked half as often.</t>
  </si>
  <si>
    <t xml:space="preserve">• With + 1, round can produce 16, which is beyond the array's end — PostgreSQL returns NULL for it.</t>
  </si>
  <si>
    <t xml:space="preserve">• floor gives 15 equal slices of the random range, so every name has the same chance.</t>
  </si>
  <si>
    <t xml:space="preserve">Blue cells with yellow fill are inputs you can change; all other values are formulas.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</si>
</sst>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36791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33679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n">
        <v>0.7283</v>
      </c>
      <c r="D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n">
        <v>1</v>
      </c>
      <c r="B6" s="6" t="s">
        <v>8</v>
      </c>
      <c r="C6" s="6" t="s">
        <v>9</v>
      </c>
      <c r="D6" s="7" t="n">
        <f aca="false">C3</f>
        <v>0.7283</v>
      </c>
      <c r="E6" s="6" t="s">
        <v>10</v>
      </c>
    </row>
    <row r="7" customFormat="false" ht="15" hidden="false" customHeight="false" outlineLevel="0" collapsed="false">
      <c r="A7" s="6" t="n">
        <v>2</v>
      </c>
      <c r="B7" s="6" t="s">
        <v>11</v>
      </c>
      <c r="C7" s="6" t="s">
        <v>12</v>
      </c>
      <c r="D7" s="7" t="n">
        <f aca="false">D6*15</f>
        <v>10.9245</v>
      </c>
      <c r="E7" s="6" t="s">
        <v>13</v>
      </c>
    </row>
    <row r="8" customFormat="false" ht="26.85" hidden="false" customHeight="false" outlineLevel="0" collapsed="false">
      <c r="A8" s="6" t="n">
        <v>3</v>
      </c>
      <c r="B8" s="6" t="s">
        <v>14</v>
      </c>
      <c r="C8" s="6" t="s">
        <v>15</v>
      </c>
      <c r="D8" s="8" t="n">
        <f aca="false">FLOOR(D7,1)</f>
        <v>10</v>
      </c>
      <c r="E8" s="6" t="s">
        <v>16</v>
      </c>
    </row>
    <row r="9" customFormat="false" ht="26.85" hidden="false" customHeight="false" outlineLevel="0" collapsed="false">
      <c r="A9" s="6" t="n">
        <v>4</v>
      </c>
      <c r="B9" s="6" t="s">
        <v>17</v>
      </c>
      <c r="C9" s="6" t="s">
        <v>18</v>
      </c>
      <c r="D9" s="8" t="n">
        <f aca="false">INT(D8)</f>
        <v>10</v>
      </c>
      <c r="E9" s="6" t="s">
        <v>19</v>
      </c>
    </row>
    <row r="10" customFormat="false" ht="15" hidden="false" customHeight="false" outlineLevel="0" collapsed="false">
      <c r="A10" s="6" t="n">
        <v>5</v>
      </c>
      <c r="B10" s="6" t="s">
        <v>20</v>
      </c>
      <c r="C10" s="6" t="s">
        <v>21</v>
      </c>
      <c r="D10" s="8" t="n">
        <f aca="false">D9+1</f>
        <v>11</v>
      </c>
      <c r="E10" s="6" t="s">
        <v>22</v>
      </c>
    </row>
    <row r="12" customFormat="false" ht="15" hidden="false" customHeight="false" outlineLevel="0" collapsed="false">
      <c r="A12" s="2" t="s">
        <v>23</v>
      </c>
    </row>
    <row r="13" customFormat="false" ht="15" hidden="false" customHeight="false" outlineLevel="0" collapsed="false">
      <c r="A13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  <c r="B3" s="3" t="n">
        <v>15</v>
      </c>
      <c r="C3" s="4" t="s">
        <v>27</v>
      </c>
    </row>
    <row r="4" customFormat="false" ht="15" hidden="false" customHeight="false" outlineLevel="0" collapsed="false">
      <c r="A4" s="2" t="s">
        <v>28</v>
      </c>
      <c r="B4" s="3" t="n">
        <v>1</v>
      </c>
      <c r="C4" s="4" t="s">
        <v>29</v>
      </c>
    </row>
    <row r="6" customFormat="false" ht="15" hidden="false" customHeight="false" outlineLevel="0" collapsed="false">
      <c r="A6" s="5" t="s">
        <v>8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</row>
    <row r="7" customFormat="false" ht="15" hidden="false" customHeight="false" outlineLevel="0" collapsed="false">
      <c r="A7" s="9" t="n">
        <v>0</v>
      </c>
      <c r="B7" s="10" t="n">
        <f aca="false">A7*$B$3</f>
        <v>0</v>
      </c>
      <c r="C7" s="11" t="n">
        <f aca="false">FLOOR(B7,1)</f>
        <v>0</v>
      </c>
      <c r="D7" s="11" t="n">
        <f aca="false">C7+$B$4</f>
        <v>1</v>
      </c>
      <c r="E7" s="11" t="n">
        <f aca="false">ROUND(B7,0)+$B$4</f>
        <v>1</v>
      </c>
      <c r="F7" s="12" t="str">
        <f aca="false">IF(E7&gt;$B$3+$B$4-1,"round: out of range (NULL)","both valid")</f>
        <v>both valid</v>
      </c>
    </row>
    <row r="8" customFormat="false" ht="15" hidden="false" customHeight="false" outlineLevel="0" collapsed="false">
      <c r="A8" s="9" t="n">
        <v>0.3105</v>
      </c>
      <c r="B8" s="10" t="n">
        <f aca="false">A8*$B$3</f>
        <v>4.6575</v>
      </c>
      <c r="C8" s="11" t="n">
        <f aca="false">FLOOR(B8,1)</f>
        <v>4</v>
      </c>
      <c r="D8" s="11" t="n">
        <f aca="false">C8+$B$4</f>
        <v>5</v>
      </c>
      <c r="E8" s="11" t="n">
        <f aca="false">ROUND(B8,0)+$B$4</f>
        <v>6</v>
      </c>
      <c r="F8" s="12" t="str">
        <f aca="false">IF(E8&gt;$B$3+$B$4-1,"round: out of range (NULL)","both valid")</f>
        <v>both valid</v>
      </c>
    </row>
    <row r="9" customFormat="false" ht="15" hidden="false" customHeight="false" outlineLevel="0" collapsed="false">
      <c r="A9" s="9" t="n">
        <v>0.7283</v>
      </c>
      <c r="B9" s="10" t="n">
        <f aca="false">A9*$B$3</f>
        <v>10.9245</v>
      </c>
      <c r="C9" s="11" t="n">
        <f aca="false">FLOOR(B9,1)</f>
        <v>10</v>
      </c>
      <c r="D9" s="11" t="n">
        <f aca="false">C9+$B$4</f>
        <v>11</v>
      </c>
      <c r="E9" s="11" t="n">
        <f aca="false">ROUND(B9,0)+$B$4</f>
        <v>12</v>
      </c>
      <c r="F9" s="12" t="str">
        <f aca="false">IF(E9&gt;$B$3+$B$4-1,"round: out of range (NULL)","both valid")</f>
        <v>both valid</v>
      </c>
    </row>
    <row r="10" customFormat="false" ht="15" hidden="false" customHeight="false" outlineLevel="0" collapsed="false">
      <c r="A10" s="9" t="n">
        <v>0.9999</v>
      </c>
      <c r="B10" s="10" t="n">
        <f aca="false">A10*$B$3</f>
        <v>14.9985</v>
      </c>
      <c r="C10" s="11" t="n">
        <f aca="false">FLOOR(B10,1)</f>
        <v>14</v>
      </c>
      <c r="D10" s="11" t="n">
        <f aca="false">C10+$B$4</f>
        <v>15</v>
      </c>
      <c r="E10" s="11" t="n">
        <f aca="false">ROUND(B10,0)+$B$4</f>
        <v>16</v>
      </c>
      <c r="F10" s="12" t="str">
        <f aca="false">IF(E10&gt;$B$3+$B$4-1,"round: out of range (NULL)","both valid")</f>
        <v>round: out of range (NULL)</v>
      </c>
    </row>
    <row r="11" customFormat="false" ht="15" hidden="false" customHeight="false" outlineLevel="0" collapsed="false">
      <c r="A11" s="9" t="n">
        <v>0.0333</v>
      </c>
      <c r="B11" s="10" t="n">
        <f aca="false">A11*$B$3</f>
        <v>0.4995</v>
      </c>
      <c r="C11" s="11" t="n">
        <f aca="false">FLOOR(B11,1)</f>
        <v>0</v>
      </c>
      <c r="D11" s="11" t="n">
        <f aca="false">C11+$B$4</f>
        <v>1</v>
      </c>
      <c r="E11" s="11" t="n">
        <f aca="false">ROUND(B11,0)+$B$4</f>
        <v>1</v>
      </c>
      <c r="F11" s="12" t="str">
        <f aca="false">IF(E11&gt;$B$3+$B$4-1,"round: out of range (NULL)","both valid")</f>
        <v>both valid</v>
      </c>
    </row>
    <row r="12" customFormat="false" ht="15" hidden="false" customHeight="false" outlineLevel="0" collapsed="false">
      <c r="A12" s="9" t="n">
        <v>0.97</v>
      </c>
      <c r="B12" s="10" t="n">
        <f aca="false">A12*$B$3</f>
        <v>14.55</v>
      </c>
      <c r="C12" s="11" t="n">
        <f aca="false">FLOOR(B12,1)</f>
        <v>14</v>
      </c>
      <c r="D12" s="11" t="n">
        <f aca="false">C12+$B$4</f>
        <v>15</v>
      </c>
      <c r="E12" s="11" t="n">
        <f aca="false">ROUND(B12,0)+$B$4</f>
        <v>16</v>
      </c>
      <c r="F12" s="12" t="str">
        <f aca="false">IF(E12&gt;$B$3+$B$4-1,"round: out of range (NULL)","both valid")</f>
        <v>round: out of range (NULL)</v>
      </c>
    </row>
    <row r="13" customFormat="false" ht="15" hidden="false" customHeight="false" outlineLevel="0" collapsed="false">
      <c r="A13" s="9" t="n">
        <f aca="true">RAND()</f>
        <v>0.066656042959212</v>
      </c>
      <c r="B13" s="10" t="n">
        <f aca="false">A13*$B$3</f>
        <v>0.999840644388179</v>
      </c>
      <c r="C13" s="11" t="n">
        <f aca="false">FLOOR(B13,1)</f>
        <v>0</v>
      </c>
      <c r="D13" s="11" t="n">
        <f aca="false">C13+$B$4</f>
        <v>1</v>
      </c>
      <c r="E13" s="11" t="n">
        <f aca="false">ROUND(B13,0)+$B$4</f>
        <v>2</v>
      </c>
      <c r="F13" s="12" t="str">
        <f aca="false">IF(E13&gt;$B$3+$B$4-1,"round: out of range (NULL)","both valid")</f>
        <v>both valid</v>
      </c>
      <c r="G13" s="4" t="s">
        <v>35</v>
      </c>
    </row>
    <row r="15" customFormat="false" ht="15" hidden="false" customHeight="false" outlineLevel="0" collapsed="false">
      <c r="A15" s="2" t="s">
        <v>36</v>
      </c>
    </row>
    <row r="16" customFormat="false" ht="15" hidden="false" customHeight="false" outlineLevel="0" collapsed="false">
      <c r="A16" s="13" t="s">
        <v>37</v>
      </c>
    </row>
    <row r="17" customFormat="false" ht="15" hidden="false" customHeight="false" outlineLevel="0" collapsed="false">
      <c r="A17" s="13" t="s">
        <v>38</v>
      </c>
    </row>
    <row r="18" customFormat="false" ht="15" hidden="false" customHeight="false" outlineLevel="0" collapsed="false">
      <c r="A18" s="13" t="s">
        <v>39</v>
      </c>
    </row>
    <row r="19" customFormat="false" ht="15" hidden="false" customHeight="false" outlineLevel="0" collapsed="false">
      <c r="A19" s="13" t="s">
        <v>40</v>
      </c>
    </row>
    <row r="21" customFormat="false" ht="15" hidden="false" customHeight="false" outlineLevel="0" collapsed="false">
      <c r="A21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2026-10-03T16:50:03Z</dcterms:created>
  <dc:creator>openpyxl</dc:creator>
  <dc:description/>
  <dc:language>en-US</dc:language>
  <cp:lastModifiedBy/>
  <dcterms:modified xsi:type="dcterms:W3CDTF">2026-10-03T16:50:03Z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